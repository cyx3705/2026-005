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672aa1edab915c63/2-第五学期/机械设计作业/"/>
    </mc:Choice>
  </mc:AlternateContent>
  <xr:revisionPtr revIDLastSave="1" documentId="11_AD4DA82427541F7ACA7EB8AA780A36766AE8DE1E" xr6:coauthVersionLast="47" xr6:coauthVersionMax="47" xr10:uidLastSave="{0E446C93-0BE3-4E3C-A3A9-C8876ACD6EA4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" i="1" l="1"/>
  <c r="D6" i="1"/>
  <c r="C8" i="1"/>
  <c r="C6" i="1"/>
  <c r="C4" i="1"/>
  <c r="C2" i="1"/>
</calcChain>
</file>

<file path=xl/sharedStrings.xml><?xml version="1.0" encoding="utf-8"?>
<sst xmlns="http://schemas.openxmlformats.org/spreadsheetml/2006/main" count="16" uniqueCount="14">
  <si>
    <t>已知量</t>
    <phoneticPr fontId="1" type="noConversion"/>
  </si>
  <si>
    <t>pca计算功率</t>
    <phoneticPr fontId="1" type="noConversion"/>
  </si>
  <si>
    <t>电机功率     P       kw</t>
    <phoneticPr fontId="1" type="noConversion"/>
  </si>
  <si>
    <t>转速            n1     r/min</t>
    <phoneticPr fontId="1" type="noConversion"/>
  </si>
  <si>
    <t>每天工作     t          h</t>
    <phoneticPr fontId="1" type="noConversion"/>
  </si>
  <si>
    <t>工况系数    ka    表8-8p168</t>
    <phoneticPr fontId="1" type="noConversion"/>
  </si>
  <si>
    <t>传动比         I      无单位</t>
    <phoneticPr fontId="1" type="noConversion"/>
  </si>
  <si>
    <t>小带轮       dd1  表8-11p169mm</t>
    <phoneticPr fontId="1" type="noConversion"/>
  </si>
  <si>
    <t>验算带数</t>
    <phoneticPr fontId="1" type="noConversion"/>
  </si>
  <si>
    <t>大带轮       dd2  表8-9 p169</t>
    <phoneticPr fontId="1" type="noConversion"/>
  </si>
  <si>
    <t>中心距的大小</t>
    <phoneticPr fontId="1" type="noConversion"/>
  </si>
  <si>
    <t>是否合格</t>
    <phoneticPr fontId="1" type="noConversion"/>
  </si>
  <si>
    <t>中心距       a0     mm</t>
    <phoneticPr fontId="1" type="noConversion"/>
  </si>
  <si>
    <t>带的基准长度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</si>
</sst>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Fill="1"/>
    <xf numFmtId="0" fontId="0" fillId="4" borderId="0" xfId="0" applyFill="1"/>
    <xf numFmtId="0" fontId="0" fillId="5" borderId="0" xfId="0" applyFill="1"/>
    <xf numFmtId="0" fontId="0" fillId="6" borderId="0" xfId="0" applyFont="1" applyFill="1"/>
    <xf numFmtId="0" fontId="0" fillId="7" borderId="0" xfId="0" applyFill="1"/>
    <xf numFmtId="0" fontId="0" fillId="6" borderId="0" xfId="0" applyFill="1"/>
    <xf numFmtId="0" fontId="0" fillId="8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tabSelected="1" workbookViewId="0">
      <selection activeCell="D7" sqref="D7"/>
    </sheetView>
  </sheetViews>
  <sheetFormatPr defaultRowHeight="14" x14ac:dyDescent="0.3"/>
  <cols>
    <col min="1" max="1" width="28" customWidth="1"/>
    <col min="3" max="3" width="23.1640625" customWidth="1"/>
    <col min="4" max="4" width="13.6640625" customWidth="1"/>
  </cols>
  <sheetData>
    <row r="1" spans="1:4" ht="12.5" customHeight="1" x14ac:dyDescent="0.3">
      <c r="A1" s="1" t="s">
        <v>0</v>
      </c>
      <c r="B1" s="4"/>
      <c r="C1" s="6" t="s">
        <v>1</v>
      </c>
      <c r="D1" t="s">
        <v>8</v>
      </c>
    </row>
    <row r="2" spans="1:4" x14ac:dyDescent="0.3">
      <c r="A2" s="1" t="s">
        <v>6</v>
      </c>
      <c r="B2" s="4"/>
      <c r="C2" s="7">
        <f>B5*B6</f>
        <v>4.4000000000000004</v>
      </c>
    </row>
    <row r="3" spans="1:4" x14ac:dyDescent="0.3">
      <c r="A3" s="1" t="s">
        <v>4</v>
      </c>
      <c r="B3" s="4"/>
      <c r="C3" s="8" t="s">
        <v>8</v>
      </c>
      <c r="D3" s="8" t="s">
        <v>11</v>
      </c>
    </row>
    <row r="4" spans="1:4" x14ac:dyDescent="0.3">
      <c r="A4" s="1" t="s">
        <v>3</v>
      </c>
      <c r="B4" s="4">
        <v>1440</v>
      </c>
      <c r="C4" s="7">
        <f>3.14*B7*B4/60000</f>
        <v>6.7824000000000009</v>
      </c>
      <c r="D4" s="9" t="str">
        <f>IF(5&lt;3.14*B7*B4/6000&lt;30,"OK","ERROR")</f>
        <v>ERROR</v>
      </c>
    </row>
    <row r="5" spans="1:4" x14ac:dyDescent="0.3">
      <c r="A5" s="1" t="s">
        <v>2</v>
      </c>
      <c r="B5" s="4">
        <v>4</v>
      </c>
      <c r="C5" s="8" t="s">
        <v>10</v>
      </c>
      <c r="D5" s="8" t="s">
        <v>11</v>
      </c>
    </row>
    <row r="6" spans="1:4" x14ac:dyDescent="0.3">
      <c r="A6" s="5" t="s">
        <v>5</v>
      </c>
      <c r="B6" s="4">
        <v>1.1000000000000001</v>
      </c>
      <c r="C6" s="7">
        <f>B9</f>
        <v>50</v>
      </c>
      <c r="D6" s="9" t="str">
        <f>IF((B7+B8)*0.7&lt;B9&lt;(B7+B8)*2,"OK","ERROR")</f>
        <v>ERROR</v>
      </c>
    </row>
    <row r="7" spans="1:4" x14ac:dyDescent="0.3">
      <c r="A7" s="5" t="s">
        <v>7</v>
      </c>
      <c r="B7" s="4">
        <v>90</v>
      </c>
      <c r="C7" s="8" t="s">
        <v>13</v>
      </c>
      <c r="D7" s="2"/>
    </row>
    <row r="8" spans="1:4" x14ac:dyDescent="0.3">
      <c r="A8" s="5" t="s">
        <v>9</v>
      </c>
      <c r="B8" s="4">
        <v>315</v>
      </c>
      <c r="C8" s="7">
        <f>2*B9+3.14/2*(B7+B8)+((B8-B7)^2)/(4*B9)</f>
        <v>988.97500000000002</v>
      </c>
    </row>
    <row r="9" spans="1:4" x14ac:dyDescent="0.3">
      <c r="A9" s="5" t="s">
        <v>12</v>
      </c>
      <c r="B9" s="4">
        <v>50</v>
      </c>
    </row>
    <row r="10" spans="1:4" x14ac:dyDescent="0.3">
      <c r="A10" s="3"/>
      <c r="B10" s="3"/>
    </row>
    <row r="11" spans="1:4" x14ac:dyDescent="0.3">
      <c r="A11" s="3"/>
      <c r="B11" s="3"/>
    </row>
    <row r="12" spans="1:4" x14ac:dyDescent="0.3">
      <c r="A12" s="3"/>
      <c r="B12" s="3"/>
    </row>
    <row r="13" spans="1:4" x14ac:dyDescent="0.3">
      <c r="A13" s="3"/>
      <c r="B13" s="3"/>
    </row>
    <row r="14" spans="1:4" x14ac:dyDescent="0.3">
      <c r="A14" s="3"/>
      <c r="B14" s="3"/>
    </row>
    <row r="15" spans="1:4" x14ac:dyDescent="0.3">
      <c r="A15" s="3"/>
      <c r="B15" s="3"/>
    </row>
    <row r="16" spans="1:4" x14ac:dyDescent="0.3">
      <c r="A16" s="3"/>
      <c r="B16" s="3"/>
    </row>
    <row r="17" spans="1:2" x14ac:dyDescent="0.3">
      <c r="A17" s="3"/>
      <c r="B17" s="3"/>
    </row>
    <row r="18" spans="1:2" x14ac:dyDescent="0.3">
      <c r="A18" s="3"/>
      <c r="B18" s="3"/>
    </row>
    <row r="19" spans="1:2" x14ac:dyDescent="0.3">
      <c r="A19" s="3"/>
      <c r="B19" s="3"/>
    </row>
    <row r="20" spans="1:2" x14ac:dyDescent="0.3">
      <c r="A20" s="3"/>
      <c r="B20" s="3"/>
    </row>
    <row r="21" spans="1:2" x14ac:dyDescent="0.3">
      <c r="A21" s="3"/>
      <c r="B21" s="3"/>
    </row>
    <row r="22" spans="1:2" x14ac:dyDescent="0.3">
      <c r="A22" s="3"/>
      <c r="B22" s="3"/>
    </row>
    <row r="23" spans="1:2" x14ac:dyDescent="0.3">
      <c r="A23" s="3"/>
      <c r="B23" s="3"/>
    </row>
    <row r="24" spans="1:2" x14ac:dyDescent="0.3">
      <c r="A24" s="3"/>
      <c r="B24" s="3"/>
    </row>
    <row r="25" spans="1:2" x14ac:dyDescent="0.3">
      <c r="A25" s="3"/>
      <c r="B25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c0 ex</cp:lastModifiedBy>
  <dcterms:created xsi:type="dcterms:W3CDTF">2015-06-05T18:19:34Z</dcterms:created>
  <dcterms:modified xsi:type="dcterms:W3CDTF">2025-09-28T04:01:33Z</dcterms:modified>
</cp:coreProperties>
</file>